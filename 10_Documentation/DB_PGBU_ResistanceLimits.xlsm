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20610" windowHeight="11640"/>
  </bookViews>
  <sheets>
    <sheet name="PGBU ResLimits" sheetId="1" r:id="rId1"/>
  </sheets>
  <calcPr calcId="125725"/>
</workbook>
</file>

<file path=xl/calcChain.xml><?xml version="1.0" encoding="utf-8"?>
<calcChain xmlns="http://schemas.openxmlformats.org/spreadsheetml/2006/main">
  <c r="I58" i="1"/>
  <c r="H58"/>
  <c r="I57"/>
  <c r="H57"/>
  <c r="I56"/>
  <c r="H56"/>
  <c r="I55"/>
  <c r="H55"/>
  <c r="I54"/>
  <c r="H54"/>
  <c r="I53"/>
  <c r="H53"/>
  <c r="I50"/>
  <c r="H50"/>
  <c r="I49"/>
  <c r="H49"/>
  <c r="I48"/>
  <c r="H48"/>
  <c r="I47"/>
  <c r="H47"/>
  <c r="I46"/>
  <c r="H46"/>
  <c r="I45"/>
  <c r="H45"/>
  <c r="I44"/>
  <c r="H44"/>
  <c r="I42"/>
  <c r="H42"/>
  <c r="I41"/>
  <c r="H41"/>
  <c r="H32"/>
  <c r="I32"/>
  <c r="H33"/>
  <c r="I33"/>
  <c r="H34"/>
  <c r="I34"/>
  <c r="H35"/>
  <c r="I35"/>
  <c r="H36"/>
  <c r="I36"/>
  <c r="H37"/>
  <c r="I37"/>
  <c r="H38"/>
  <c r="I38"/>
  <c r="H39"/>
  <c r="I39"/>
  <c r="I31"/>
  <c r="H31"/>
  <c r="I30"/>
  <c r="H30"/>
  <c r="H23"/>
  <c r="I23"/>
  <c r="H24"/>
  <c r="I24"/>
  <c r="H25"/>
  <c r="I25"/>
  <c r="H26"/>
  <c r="I26"/>
  <c r="H27"/>
  <c r="I27"/>
  <c r="H28"/>
  <c r="I28"/>
  <c r="I22"/>
  <c r="H22"/>
  <c r="I21"/>
  <c r="H21"/>
  <c r="H14"/>
  <c r="I14"/>
  <c r="H15"/>
  <c r="I15"/>
  <c r="H16"/>
  <c r="I16"/>
  <c r="H17"/>
  <c r="I17"/>
  <c r="H18"/>
  <c r="I18"/>
  <c r="H19"/>
  <c r="I19"/>
  <c r="I13"/>
  <c r="H13"/>
  <c r="I12"/>
  <c r="H12"/>
  <c r="H5"/>
  <c r="I5"/>
  <c r="H6"/>
  <c r="I6"/>
  <c r="H7"/>
  <c r="I7"/>
  <c r="H8"/>
  <c r="I8"/>
  <c r="H9"/>
  <c r="I9"/>
  <c r="H10"/>
  <c r="I10"/>
  <c r="I4"/>
  <c r="H4"/>
  <c r="I3"/>
  <c r="H3"/>
  <c r="H43"/>
  <c r="I43"/>
  <c r="H51"/>
  <c r="I51"/>
  <c r="I40"/>
  <c r="H11"/>
  <c r="I11"/>
  <c r="H20"/>
  <c r="I20"/>
  <c r="H29"/>
  <c r="I29"/>
  <c r="H52"/>
  <c r="I52"/>
  <c r="H40" l="1"/>
  <c r="I2"/>
  <c r="H2"/>
</calcChain>
</file>

<file path=xl/sharedStrings.xml><?xml version="1.0" encoding="utf-8"?>
<sst xmlns="http://schemas.openxmlformats.org/spreadsheetml/2006/main" count="352" uniqueCount="93">
  <si>
    <t>AMPERAGE</t>
  </si>
  <si>
    <t>PART_NUMBER</t>
  </si>
  <si>
    <t>LABEL_STYLE</t>
  </si>
  <si>
    <t>RESISTANCE_NOM</t>
  </si>
  <si>
    <t>RESISTANCE_MAX</t>
  </si>
  <si>
    <t>RESISTANCE_MIN</t>
  </si>
  <si>
    <t>10A</t>
  </si>
  <si>
    <t>15A</t>
  </si>
  <si>
    <t>20A</t>
  </si>
  <si>
    <t>30A</t>
  </si>
  <si>
    <t>40A</t>
  </si>
  <si>
    <t>50A</t>
  </si>
  <si>
    <t>914-923-001</t>
  </si>
  <si>
    <t>914-923-002</t>
  </si>
  <si>
    <t>914-923-003</t>
  </si>
  <si>
    <t>914-923-004</t>
  </si>
  <si>
    <t>914-923-005</t>
  </si>
  <si>
    <t>914-923-006</t>
  </si>
  <si>
    <t>0HEV040.ZXBD</t>
  </si>
  <si>
    <t>0HEV040.ZXPY</t>
  </si>
  <si>
    <t>VOLTAGE</t>
  </si>
  <si>
    <t>450 VDC MAX</t>
  </si>
  <si>
    <t>425 VDC MAX</t>
  </si>
  <si>
    <t>250 VAC / 425 VDC MAX</t>
  </si>
  <si>
    <t>0HEV010.SXBD</t>
  </si>
  <si>
    <t>0HEV010.SXBDY</t>
  </si>
  <si>
    <t>0HEV010.ZXBD</t>
  </si>
  <si>
    <t>0HEV010.ZXISO</t>
  </si>
  <si>
    <t>0HEV010.ZXPCB</t>
  </si>
  <si>
    <t>0HEV010.ZXPCBL</t>
  </si>
  <si>
    <t>0HEV010.ZXPL</t>
  </si>
  <si>
    <t>0HEV010.ZXPRL</t>
  </si>
  <si>
    <t>0HEV010.ZXPY</t>
  </si>
  <si>
    <t>0HEV015.SXBD</t>
  </si>
  <si>
    <t>0HEV015.SXBDY</t>
  </si>
  <si>
    <t>0HEV015.ZXBD</t>
  </si>
  <si>
    <t>0HEV015.ZXISO</t>
  </si>
  <si>
    <t>0HEV015.ZXPCB</t>
  </si>
  <si>
    <t>0HEV015.ZXPCBL</t>
  </si>
  <si>
    <t>0HEV015.ZXPL</t>
  </si>
  <si>
    <t>0HEV015.ZXPRL</t>
  </si>
  <si>
    <t>0HEV015.ZXPY</t>
  </si>
  <si>
    <t>0HEV020.SXBD</t>
  </si>
  <si>
    <t>0HEV020.SXBDY</t>
  </si>
  <si>
    <t>0HEV020.ZXBD</t>
  </si>
  <si>
    <t>0HEV020.ZXISO</t>
  </si>
  <si>
    <t>0HEV020.ZXPCB</t>
  </si>
  <si>
    <t>0HEV020.ZXPCBL</t>
  </si>
  <si>
    <t>0HEV020.ZXPL</t>
  </si>
  <si>
    <t>0HEV020.ZXPRL</t>
  </si>
  <si>
    <t>0HEV020.ZXPY</t>
  </si>
  <si>
    <t>0HEV030.SXBD</t>
  </si>
  <si>
    <t>0HEV030.SXBDY</t>
  </si>
  <si>
    <t>0HEV030.ZXBD</t>
  </si>
  <si>
    <t>0HEV030.ZXBSH</t>
  </si>
  <si>
    <t>0HEV030.ZXISO</t>
  </si>
  <si>
    <t>0HEV030.ZXPCB</t>
  </si>
  <si>
    <t>0HEV030.ZXPCBL</t>
  </si>
  <si>
    <t>0HEV030.ZXPL</t>
  </si>
  <si>
    <t>0HEV030.ZXPRL</t>
  </si>
  <si>
    <t>0HEV030.ZXPY</t>
  </si>
  <si>
    <t>0HEV030.ZXTESLA</t>
  </si>
  <si>
    <t>0HEV040.SXBD</t>
  </si>
  <si>
    <t>0HEV040.SXBD2Y</t>
  </si>
  <si>
    <t>0HEV040.SXBDY</t>
  </si>
  <si>
    <t>0HEV040.ZXBDU</t>
  </si>
  <si>
    <t>0HEV040.ZXBSH</t>
  </si>
  <si>
    <t>0HEV040.ZXISO</t>
  </si>
  <si>
    <t>0HEV040.ZXPCB</t>
  </si>
  <si>
    <t>0HEV040.ZXPCBL</t>
  </si>
  <si>
    <t>0HEV040.ZXPL</t>
  </si>
  <si>
    <t>0HEV040.ZXPRL</t>
  </si>
  <si>
    <t>0HEV050.SXBD2</t>
  </si>
  <si>
    <t>0HEV050.SXBD2Y</t>
  </si>
  <si>
    <t>0HEV050.ZXBD2</t>
  </si>
  <si>
    <t>0HEV050.ZXISO2</t>
  </si>
  <si>
    <t>0HEV050.ZXP2Y</t>
  </si>
  <si>
    <t>0HEV050.ZXPCB2</t>
  </si>
  <si>
    <t>0HEV050.ZXPCBL2</t>
  </si>
  <si>
    <t>275 VAC MAX</t>
  </si>
  <si>
    <t>FUSE_ID_COLOR</t>
  </si>
  <si>
    <t>LABEL_BKG_COLOR</t>
  </si>
  <si>
    <t>WHITE</t>
  </si>
  <si>
    <t>ORANGE</t>
  </si>
  <si>
    <t>NONE</t>
  </si>
  <si>
    <t>PMS 185 RED</t>
  </si>
  <si>
    <t>PMS 280 BLUE</t>
  </si>
  <si>
    <t>PMS 109 YELLOW</t>
  </si>
  <si>
    <t>PMS 347 GREEN</t>
  </si>
  <si>
    <t>PMS 165 ORANGE</t>
  </si>
  <si>
    <t>914-950-003</t>
  </si>
  <si>
    <t>914-950-002</t>
  </si>
  <si>
    <t>APW_FUSE</t>
  </si>
</sst>
</file>

<file path=xl/styles.xml><?xml version="1.0" encoding="utf-8"?>
<styleSheet xmlns="http://schemas.openxmlformats.org/spreadsheetml/2006/main">
  <numFmts count="1">
    <numFmt numFmtId="164" formatCode="0.00000"/>
  </numFmts>
  <fonts count="4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/>
    <xf numFmtId="0" fontId="0" fillId="0" borderId="0" xfId="0" applyBorder="1"/>
    <xf numFmtId="0" fontId="1" fillId="0" borderId="0" xfId="0" applyFont="1" applyFill="1" applyBorder="1"/>
    <xf numFmtId="164" fontId="0" fillId="0" borderId="0" xfId="0" applyNumberFormat="1" applyBorder="1"/>
    <xf numFmtId="0" fontId="0" fillId="3" borderId="0" xfId="0" applyFill="1"/>
    <xf numFmtId="0" fontId="0" fillId="3" borderId="0" xfId="0" applyFill="1" applyBorder="1"/>
    <xf numFmtId="0" fontId="1" fillId="3" borderId="0" xfId="0" applyFont="1" applyFill="1" applyBorder="1"/>
    <xf numFmtId="164" fontId="0" fillId="3" borderId="0" xfId="0" applyNumberFormat="1" applyFill="1" applyBorder="1"/>
    <xf numFmtId="0" fontId="0" fillId="4" borderId="0" xfId="0" applyFill="1"/>
    <xf numFmtId="0" fontId="0" fillId="4" borderId="0" xfId="0" applyFill="1" applyBorder="1"/>
    <xf numFmtId="0" fontId="1" fillId="4" borderId="0" xfId="0" applyFont="1" applyFill="1" applyBorder="1"/>
    <xf numFmtId="164" fontId="0" fillId="4" borderId="0" xfId="0" applyNumberFormat="1" applyFill="1" applyBorder="1"/>
    <xf numFmtId="0" fontId="0" fillId="5" borderId="0" xfId="0" applyFill="1"/>
    <xf numFmtId="0" fontId="0" fillId="5" borderId="0" xfId="0" applyFill="1" applyBorder="1"/>
    <xf numFmtId="0" fontId="1" fillId="5" borderId="0" xfId="0" applyFont="1" applyFill="1" applyBorder="1"/>
    <xf numFmtId="164" fontId="0" fillId="5" borderId="0" xfId="0" applyNumberFormat="1" applyFill="1" applyBorder="1"/>
    <xf numFmtId="0" fontId="0" fillId="6" borderId="0" xfId="0" applyFill="1"/>
    <xf numFmtId="0" fontId="0" fillId="6" borderId="0" xfId="0" applyFill="1" applyBorder="1"/>
    <xf numFmtId="0" fontId="1" fillId="6" borderId="0" xfId="0" applyFont="1" applyFill="1" applyBorder="1"/>
    <xf numFmtId="164" fontId="0" fillId="6" borderId="0" xfId="0" applyNumberFormat="1" applyFill="1" applyBorder="1"/>
    <xf numFmtId="0" fontId="0" fillId="7" borderId="0" xfId="0" applyFill="1"/>
    <xf numFmtId="0" fontId="0" fillId="7" borderId="0" xfId="0" applyFill="1" applyBorder="1"/>
    <xf numFmtId="0" fontId="1" fillId="7" borderId="0" xfId="0" applyFont="1" applyFill="1" applyBorder="1"/>
    <xf numFmtId="164" fontId="0" fillId="7" borderId="0" xfId="0" applyNumberFormat="1" applyFill="1" applyBorder="1"/>
    <xf numFmtId="0" fontId="0" fillId="8" borderId="0" xfId="0" applyFill="1"/>
    <xf numFmtId="0" fontId="0" fillId="8" borderId="0" xfId="0" applyFill="1" applyBorder="1"/>
    <xf numFmtId="0" fontId="1" fillId="8" borderId="0" xfId="0" applyFont="1" applyFill="1" applyBorder="1"/>
    <xf numFmtId="164" fontId="0" fillId="8" borderId="0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64"/>
  <sheetViews>
    <sheetView tabSelected="1" topLeftCell="A19" zoomScale="85" zoomScaleNormal="85" workbookViewId="0">
      <selection activeCell="R37" sqref="R37"/>
    </sheetView>
  </sheetViews>
  <sheetFormatPr defaultRowHeight="15"/>
  <cols>
    <col min="1" max="1" width="16.7109375" bestFit="1" customWidth="1"/>
    <col min="2" max="2" width="11.140625" bestFit="1" customWidth="1"/>
    <col min="3" max="3" width="20.7109375" customWidth="1"/>
    <col min="4" max="4" width="14" bestFit="1" customWidth="1"/>
    <col min="5" max="5" width="16.5703125" bestFit="1" customWidth="1"/>
    <col min="6" max="6" width="18.140625" bestFit="1" customWidth="1"/>
    <col min="7" max="7" width="17.5703125" bestFit="1" customWidth="1"/>
    <col min="8" max="8" width="17" bestFit="1" customWidth="1"/>
    <col min="9" max="9" width="16.5703125" bestFit="1" customWidth="1"/>
  </cols>
  <sheetData>
    <row r="1" spans="1:24">
      <c r="A1" s="1" t="s">
        <v>1</v>
      </c>
      <c r="B1" s="1" t="s">
        <v>0</v>
      </c>
      <c r="C1" s="1" t="s">
        <v>20</v>
      </c>
      <c r="D1" s="1" t="s">
        <v>2</v>
      </c>
      <c r="E1" s="1" t="s">
        <v>80</v>
      </c>
      <c r="F1" s="1" t="s">
        <v>81</v>
      </c>
      <c r="G1" s="1" t="s">
        <v>3</v>
      </c>
      <c r="H1" s="1" t="s">
        <v>4</v>
      </c>
      <c r="I1" s="1" t="s">
        <v>5</v>
      </c>
      <c r="J1" s="1" t="s">
        <v>92</v>
      </c>
    </row>
    <row r="2" spans="1:24">
      <c r="A2" s="5" t="s">
        <v>24</v>
      </c>
      <c r="B2" s="7" t="s">
        <v>6</v>
      </c>
      <c r="C2" s="7" t="s">
        <v>21</v>
      </c>
      <c r="D2" s="7" t="s">
        <v>12</v>
      </c>
      <c r="E2" s="7" t="s">
        <v>85</v>
      </c>
      <c r="F2" s="7" t="s">
        <v>82</v>
      </c>
      <c r="G2" s="6">
        <v>12.8</v>
      </c>
      <c r="H2" s="8">
        <f>ROUND(G2*1.1,5)</f>
        <v>14.08</v>
      </c>
      <c r="I2" s="8">
        <f>ROUND(G2*0.82,5)</f>
        <v>10.496</v>
      </c>
      <c r="J2">
        <v>0.25</v>
      </c>
      <c r="Q2" s="2"/>
      <c r="S2" s="3"/>
      <c r="T2" s="3"/>
      <c r="U2" s="3"/>
      <c r="V2" s="2"/>
      <c r="W2" s="4"/>
      <c r="X2" s="4"/>
    </row>
    <row r="3" spans="1:24">
      <c r="A3" s="5" t="s">
        <v>25</v>
      </c>
      <c r="B3" s="7" t="s">
        <v>6</v>
      </c>
      <c r="C3" s="7" t="s">
        <v>21</v>
      </c>
      <c r="D3" s="7" t="s">
        <v>12</v>
      </c>
      <c r="E3" s="7" t="s">
        <v>85</v>
      </c>
      <c r="F3" s="7" t="s">
        <v>82</v>
      </c>
      <c r="G3" s="6">
        <v>12.8</v>
      </c>
      <c r="H3" s="8">
        <f>ROUND(G3*1.1,5)</f>
        <v>14.08</v>
      </c>
      <c r="I3" s="8">
        <f>ROUND(G3*0.82,5)</f>
        <v>10.496</v>
      </c>
      <c r="J3">
        <v>0.25</v>
      </c>
    </row>
    <row r="4" spans="1:24">
      <c r="A4" s="5" t="s">
        <v>26</v>
      </c>
      <c r="B4" s="7" t="s">
        <v>6</v>
      </c>
      <c r="C4" s="7" t="s">
        <v>21</v>
      </c>
      <c r="D4" s="7" t="s">
        <v>12</v>
      </c>
      <c r="E4" s="7" t="s">
        <v>85</v>
      </c>
      <c r="F4" s="7" t="s">
        <v>82</v>
      </c>
      <c r="G4" s="6">
        <v>12.8</v>
      </c>
      <c r="H4" s="8">
        <f>ROUND(G4*1.1,5)</f>
        <v>14.08</v>
      </c>
      <c r="I4" s="8">
        <f>ROUND(G4*0.82,5)</f>
        <v>10.496</v>
      </c>
      <c r="J4">
        <v>0.25</v>
      </c>
    </row>
    <row r="5" spans="1:24">
      <c r="A5" s="5" t="s">
        <v>27</v>
      </c>
      <c r="B5" s="7" t="s">
        <v>6</v>
      </c>
      <c r="C5" s="7" t="s">
        <v>21</v>
      </c>
      <c r="D5" s="7" t="s">
        <v>12</v>
      </c>
      <c r="E5" s="7" t="s">
        <v>85</v>
      </c>
      <c r="F5" s="7" t="s">
        <v>82</v>
      </c>
      <c r="G5" s="6">
        <v>12.8</v>
      </c>
      <c r="H5" s="8">
        <f t="shared" ref="H5:H10" si="0">ROUND(G5*1.1,5)</f>
        <v>14.08</v>
      </c>
      <c r="I5" s="8">
        <f t="shared" ref="I5:I10" si="1">ROUND(G5*0.82,5)</f>
        <v>10.496</v>
      </c>
      <c r="J5">
        <v>0.25</v>
      </c>
    </row>
    <row r="6" spans="1:24">
      <c r="A6" s="5" t="s">
        <v>28</v>
      </c>
      <c r="B6" s="7" t="s">
        <v>6</v>
      </c>
      <c r="C6" s="7" t="s">
        <v>21</v>
      </c>
      <c r="D6" s="7" t="s">
        <v>12</v>
      </c>
      <c r="E6" s="7" t="s">
        <v>85</v>
      </c>
      <c r="F6" s="7" t="s">
        <v>82</v>
      </c>
      <c r="G6" s="6">
        <v>12.8</v>
      </c>
      <c r="H6" s="8">
        <f t="shared" si="0"/>
        <v>14.08</v>
      </c>
      <c r="I6" s="8">
        <f t="shared" si="1"/>
        <v>10.496</v>
      </c>
      <c r="J6">
        <v>0.25</v>
      </c>
    </row>
    <row r="7" spans="1:24">
      <c r="A7" s="5" t="s">
        <v>29</v>
      </c>
      <c r="B7" s="7" t="s">
        <v>6</v>
      </c>
      <c r="C7" s="7" t="s">
        <v>21</v>
      </c>
      <c r="D7" s="7" t="s">
        <v>12</v>
      </c>
      <c r="E7" s="7" t="s">
        <v>85</v>
      </c>
      <c r="F7" s="7" t="s">
        <v>82</v>
      </c>
      <c r="G7" s="6">
        <v>12.8</v>
      </c>
      <c r="H7" s="8">
        <f t="shared" si="0"/>
        <v>14.08</v>
      </c>
      <c r="I7" s="8">
        <f t="shared" si="1"/>
        <v>10.496</v>
      </c>
      <c r="J7">
        <v>0.25</v>
      </c>
    </row>
    <row r="8" spans="1:24">
      <c r="A8" s="5" t="s">
        <v>30</v>
      </c>
      <c r="B8" s="7" t="s">
        <v>6</v>
      </c>
      <c r="C8" s="7" t="s">
        <v>21</v>
      </c>
      <c r="D8" s="7" t="s">
        <v>12</v>
      </c>
      <c r="E8" s="7" t="s">
        <v>85</v>
      </c>
      <c r="F8" s="7" t="s">
        <v>82</v>
      </c>
      <c r="G8" s="6">
        <v>12.8</v>
      </c>
      <c r="H8" s="8">
        <f t="shared" si="0"/>
        <v>14.08</v>
      </c>
      <c r="I8" s="8">
        <f t="shared" si="1"/>
        <v>10.496</v>
      </c>
      <c r="J8">
        <v>0.25</v>
      </c>
    </row>
    <row r="9" spans="1:24">
      <c r="A9" s="5" t="s">
        <v>31</v>
      </c>
      <c r="B9" s="7" t="s">
        <v>6</v>
      </c>
      <c r="C9" s="7" t="s">
        <v>21</v>
      </c>
      <c r="D9" s="7" t="s">
        <v>12</v>
      </c>
      <c r="E9" s="7" t="s">
        <v>85</v>
      </c>
      <c r="F9" s="7" t="s">
        <v>82</v>
      </c>
      <c r="G9" s="6">
        <v>12.8</v>
      </c>
      <c r="H9" s="8">
        <f t="shared" si="0"/>
        <v>14.08</v>
      </c>
      <c r="I9" s="8">
        <f t="shared" si="1"/>
        <v>10.496</v>
      </c>
      <c r="J9">
        <v>0.25</v>
      </c>
    </row>
    <row r="10" spans="1:24">
      <c r="A10" s="5" t="s">
        <v>32</v>
      </c>
      <c r="B10" s="7" t="s">
        <v>6</v>
      </c>
      <c r="C10" s="7" t="s">
        <v>21</v>
      </c>
      <c r="D10" s="7" t="s">
        <v>12</v>
      </c>
      <c r="E10" s="7" t="s">
        <v>85</v>
      </c>
      <c r="F10" s="7" t="s">
        <v>82</v>
      </c>
      <c r="G10" s="6">
        <v>12.8</v>
      </c>
      <c r="H10" s="8">
        <f t="shared" si="0"/>
        <v>14.08</v>
      </c>
      <c r="I10" s="8">
        <f t="shared" si="1"/>
        <v>10.496</v>
      </c>
      <c r="J10">
        <v>0.25</v>
      </c>
    </row>
    <row r="11" spans="1:24">
      <c r="A11" s="9" t="s">
        <v>33</v>
      </c>
      <c r="B11" s="11" t="s">
        <v>7</v>
      </c>
      <c r="C11" s="11" t="s">
        <v>21</v>
      </c>
      <c r="D11" s="11" t="s">
        <v>13</v>
      </c>
      <c r="E11" s="11" t="s">
        <v>86</v>
      </c>
      <c r="F11" s="11" t="s">
        <v>82</v>
      </c>
      <c r="G11" s="10">
        <v>7.88</v>
      </c>
      <c r="H11" s="12">
        <f>ROUND(G11*1.1,5)</f>
        <v>8.6679999999999993</v>
      </c>
      <c r="I11" s="12">
        <f>ROUND(G11*0.82,5)</f>
        <v>6.4615999999999998</v>
      </c>
      <c r="J11">
        <v>0.8</v>
      </c>
    </row>
    <row r="12" spans="1:24" ht="14.25" customHeight="1">
      <c r="A12" s="9" t="s">
        <v>34</v>
      </c>
      <c r="B12" s="11" t="s">
        <v>7</v>
      </c>
      <c r="C12" s="11" t="s">
        <v>21</v>
      </c>
      <c r="D12" s="11" t="s">
        <v>13</v>
      </c>
      <c r="E12" s="11" t="s">
        <v>86</v>
      </c>
      <c r="F12" s="11" t="s">
        <v>82</v>
      </c>
      <c r="G12" s="10">
        <v>7.88</v>
      </c>
      <c r="H12" s="12">
        <f>ROUND(G12*1.1,5)</f>
        <v>8.6679999999999993</v>
      </c>
      <c r="I12" s="12">
        <f>ROUND(G12*0.82,5)</f>
        <v>6.4615999999999998</v>
      </c>
      <c r="J12">
        <v>0.8</v>
      </c>
    </row>
    <row r="13" spans="1:24">
      <c r="A13" s="9" t="s">
        <v>35</v>
      </c>
      <c r="B13" s="11" t="s">
        <v>7</v>
      </c>
      <c r="C13" s="11" t="s">
        <v>21</v>
      </c>
      <c r="D13" s="11" t="s">
        <v>13</v>
      </c>
      <c r="E13" s="11" t="s">
        <v>86</v>
      </c>
      <c r="F13" s="11" t="s">
        <v>82</v>
      </c>
      <c r="G13" s="10">
        <v>7.88</v>
      </c>
      <c r="H13" s="12">
        <f>ROUND(G13*1.1,5)</f>
        <v>8.6679999999999993</v>
      </c>
      <c r="I13" s="12">
        <f>ROUND(G13*0.82,5)</f>
        <v>6.4615999999999998</v>
      </c>
      <c r="J13">
        <v>0.8</v>
      </c>
    </row>
    <row r="14" spans="1:24">
      <c r="A14" s="9" t="s">
        <v>36</v>
      </c>
      <c r="B14" s="11" t="s">
        <v>7</v>
      </c>
      <c r="C14" s="11" t="s">
        <v>21</v>
      </c>
      <c r="D14" s="11" t="s">
        <v>13</v>
      </c>
      <c r="E14" s="11" t="s">
        <v>86</v>
      </c>
      <c r="F14" s="11" t="s">
        <v>82</v>
      </c>
      <c r="G14" s="10">
        <v>7.88</v>
      </c>
      <c r="H14" s="12">
        <f t="shared" ref="H14:H19" si="2">ROUND(G14*1.1,5)</f>
        <v>8.6679999999999993</v>
      </c>
      <c r="I14" s="12">
        <f t="shared" ref="I14:I19" si="3">ROUND(G14*0.82,5)</f>
        <v>6.4615999999999998</v>
      </c>
      <c r="J14">
        <v>0.8</v>
      </c>
    </row>
    <row r="15" spans="1:24">
      <c r="A15" s="9" t="s">
        <v>37</v>
      </c>
      <c r="B15" s="11" t="s">
        <v>7</v>
      </c>
      <c r="C15" s="11" t="s">
        <v>21</v>
      </c>
      <c r="D15" s="11" t="s">
        <v>13</v>
      </c>
      <c r="E15" s="11" t="s">
        <v>86</v>
      </c>
      <c r="F15" s="11" t="s">
        <v>82</v>
      </c>
      <c r="G15" s="10">
        <v>7.88</v>
      </c>
      <c r="H15" s="12">
        <f t="shared" si="2"/>
        <v>8.6679999999999993</v>
      </c>
      <c r="I15" s="12">
        <f t="shared" si="3"/>
        <v>6.4615999999999998</v>
      </c>
      <c r="J15">
        <v>0.8</v>
      </c>
    </row>
    <row r="16" spans="1:24">
      <c r="A16" s="9" t="s">
        <v>38</v>
      </c>
      <c r="B16" s="11" t="s">
        <v>7</v>
      </c>
      <c r="C16" s="11" t="s">
        <v>21</v>
      </c>
      <c r="D16" s="11" t="s">
        <v>13</v>
      </c>
      <c r="E16" s="11" t="s">
        <v>86</v>
      </c>
      <c r="F16" s="11" t="s">
        <v>82</v>
      </c>
      <c r="G16" s="10">
        <v>7.88</v>
      </c>
      <c r="H16" s="12">
        <f t="shared" si="2"/>
        <v>8.6679999999999993</v>
      </c>
      <c r="I16" s="12">
        <f t="shared" si="3"/>
        <v>6.4615999999999998</v>
      </c>
      <c r="J16">
        <v>0.8</v>
      </c>
    </row>
    <row r="17" spans="1:10">
      <c r="A17" s="9" t="s">
        <v>39</v>
      </c>
      <c r="B17" s="11" t="s">
        <v>7</v>
      </c>
      <c r="C17" s="11" t="s">
        <v>21</v>
      </c>
      <c r="D17" s="11" t="s">
        <v>13</v>
      </c>
      <c r="E17" s="11" t="s">
        <v>86</v>
      </c>
      <c r="F17" s="11" t="s">
        <v>82</v>
      </c>
      <c r="G17" s="10">
        <v>7.88</v>
      </c>
      <c r="H17" s="12">
        <f t="shared" si="2"/>
        <v>8.6679999999999993</v>
      </c>
      <c r="I17" s="12">
        <f t="shared" si="3"/>
        <v>6.4615999999999998</v>
      </c>
      <c r="J17">
        <v>0.8</v>
      </c>
    </row>
    <row r="18" spans="1:10">
      <c r="A18" s="9" t="s">
        <v>40</v>
      </c>
      <c r="B18" s="11" t="s">
        <v>7</v>
      </c>
      <c r="C18" s="11" t="s">
        <v>21</v>
      </c>
      <c r="D18" s="11" t="s">
        <v>13</v>
      </c>
      <c r="E18" s="11" t="s">
        <v>86</v>
      </c>
      <c r="F18" s="11" t="s">
        <v>82</v>
      </c>
      <c r="G18" s="10">
        <v>7.88</v>
      </c>
      <c r="H18" s="12">
        <f t="shared" si="2"/>
        <v>8.6679999999999993</v>
      </c>
      <c r="I18" s="12">
        <f t="shared" si="3"/>
        <v>6.4615999999999998</v>
      </c>
      <c r="J18">
        <v>0.8</v>
      </c>
    </row>
    <row r="19" spans="1:10">
      <c r="A19" s="9" t="s">
        <v>41</v>
      </c>
      <c r="B19" s="11" t="s">
        <v>7</v>
      </c>
      <c r="C19" s="11" t="s">
        <v>21</v>
      </c>
      <c r="D19" s="11" t="s">
        <v>13</v>
      </c>
      <c r="E19" s="11" t="s">
        <v>86</v>
      </c>
      <c r="F19" s="11" t="s">
        <v>82</v>
      </c>
      <c r="G19" s="10">
        <v>7.88</v>
      </c>
      <c r="H19" s="12">
        <f t="shared" si="2"/>
        <v>8.6679999999999993</v>
      </c>
      <c r="I19" s="12">
        <f t="shared" si="3"/>
        <v>6.4615999999999998</v>
      </c>
      <c r="J19">
        <v>0.8</v>
      </c>
    </row>
    <row r="20" spans="1:10">
      <c r="A20" s="13" t="s">
        <v>42</v>
      </c>
      <c r="B20" s="15" t="s">
        <v>8</v>
      </c>
      <c r="C20" s="15" t="s">
        <v>21</v>
      </c>
      <c r="D20" s="15" t="s">
        <v>14</v>
      </c>
      <c r="E20" s="15" t="s">
        <v>87</v>
      </c>
      <c r="F20" s="15" t="s">
        <v>82</v>
      </c>
      <c r="G20" s="14">
        <v>5.04</v>
      </c>
      <c r="H20" s="16">
        <f>ROUND(G20*1.1,5)</f>
        <v>5.5439999999999996</v>
      </c>
      <c r="I20" s="16">
        <f>ROUND(G20*0.82,5)</f>
        <v>4.1327999999999996</v>
      </c>
      <c r="J20">
        <v>0.1</v>
      </c>
    </row>
    <row r="21" spans="1:10">
      <c r="A21" s="13" t="s">
        <v>43</v>
      </c>
      <c r="B21" s="15" t="s">
        <v>8</v>
      </c>
      <c r="C21" s="15" t="s">
        <v>21</v>
      </c>
      <c r="D21" s="15" t="s">
        <v>14</v>
      </c>
      <c r="E21" s="15" t="s">
        <v>87</v>
      </c>
      <c r="F21" s="15" t="s">
        <v>82</v>
      </c>
      <c r="G21" s="14">
        <v>5.04</v>
      </c>
      <c r="H21" s="16">
        <f>ROUND(G21*1.1,5)</f>
        <v>5.5439999999999996</v>
      </c>
      <c r="I21" s="16">
        <f>ROUND(G21*0.82,5)</f>
        <v>4.1327999999999996</v>
      </c>
      <c r="J21">
        <v>0.1</v>
      </c>
    </row>
    <row r="22" spans="1:10">
      <c r="A22" s="13" t="s">
        <v>44</v>
      </c>
      <c r="B22" s="15" t="s">
        <v>8</v>
      </c>
      <c r="C22" s="15" t="s">
        <v>21</v>
      </c>
      <c r="D22" s="15" t="s">
        <v>14</v>
      </c>
      <c r="E22" s="15" t="s">
        <v>87</v>
      </c>
      <c r="F22" s="15" t="s">
        <v>82</v>
      </c>
      <c r="G22" s="14">
        <v>5.04</v>
      </c>
      <c r="H22" s="16">
        <f>ROUND(G22*1.1,5)</f>
        <v>5.5439999999999996</v>
      </c>
      <c r="I22" s="16">
        <f>ROUND(G22*0.82,5)</f>
        <v>4.1327999999999996</v>
      </c>
      <c r="J22">
        <v>0.1</v>
      </c>
    </row>
    <row r="23" spans="1:10">
      <c r="A23" s="13" t="s">
        <v>45</v>
      </c>
      <c r="B23" s="15" t="s">
        <v>8</v>
      </c>
      <c r="C23" s="15" t="s">
        <v>21</v>
      </c>
      <c r="D23" s="15" t="s">
        <v>14</v>
      </c>
      <c r="E23" s="15" t="s">
        <v>87</v>
      </c>
      <c r="F23" s="15" t="s">
        <v>82</v>
      </c>
      <c r="G23" s="14">
        <v>5.04</v>
      </c>
      <c r="H23" s="16">
        <f t="shared" ref="H23:H28" si="4">ROUND(G23*1.1,5)</f>
        <v>5.5439999999999996</v>
      </c>
      <c r="I23" s="16">
        <f t="shared" ref="I23:I28" si="5">ROUND(G23*0.82,5)</f>
        <v>4.1327999999999996</v>
      </c>
      <c r="J23">
        <v>0.1</v>
      </c>
    </row>
    <row r="24" spans="1:10">
      <c r="A24" s="13" t="s">
        <v>46</v>
      </c>
      <c r="B24" s="15" t="s">
        <v>8</v>
      </c>
      <c r="C24" s="15" t="s">
        <v>21</v>
      </c>
      <c r="D24" s="15" t="s">
        <v>14</v>
      </c>
      <c r="E24" s="15" t="s">
        <v>87</v>
      </c>
      <c r="F24" s="15" t="s">
        <v>82</v>
      </c>
      <c r="G24" s="14">
        <v>5.04</v>
      </c>
      <c r="H24" s="16">
        <f t="shared" si="4"/>
        <v>5.5439999999999996</v>
      </c>
      <c r="I24" s="16">
        <f t="shared" si="5"/>
        <v>4.1327999999999996</v>
      </c>
      <c r="J24">
        <v>0.1</v>
      </c>
    </row>
    <row r="25" spans="1:10">
      <c r="A25" s="13" t="s">
        <v>47</v>
      </c>
      <c r="B25" s="15" t="s">
        <v>8</v>
      </c>
      <c r="C25" s="15" t="s">
        <v>21</v>
      </c>
      <c r="D25" s="15" t="s">
        <v>14</v>
      </c>
      <c r="E25" s="15" t="s">
        <v>87</v>
      </c>
      <c r="F25" s="15" t="s">
        <v>82</v>
      </c>
      <c r="G25" s="14">
        <v>5.04</v>
      </c>
      <c r="H25" s="16">
        <f t="shared" si="4"/>
        <v>5.5439999999999996</v>
      </c>
      <c r="I25" s="16">
        <f t="shared" si="5"/>
        <v>4.1327999999999996</v>
      </c>
      <c r="J25">
        <v>0.1</v>
      </c>
    </row>
    <row r="26" spans="1:10">
      <c r="A26" s="13" t="s">
        <v>48</v>
      </c>
      <c r="B26" s="15" t="s">
        <v>8</v>
      </c>
      <c r="C26" s="15" t="s">
        <v>21</v>
      </c>
      <c r="D26" s="15" t="s">
        <v>14</v>
      </c>
      <c r="E26" s="15" t="s">
        <v>87</v>
      </c>
      <c r="F26" s="15" t="s">
        <v>82</v>
      </c>
      <c r="G26" s="14">
        <v>5.04</v>
      </c>
      <c r="H26" s="16">
        <f t="shared" si="4"/>
        <v>5.5439999999999996</v>
      </c>
      <c r="I26" s="16">
        <f t="shared" si="5"/>
        <v>4.1327999999999996</v>
      </c>
      <c r="J26">
        <v>0.1</v>
      </c>
    </row>
    <row r="27" spans="1:10">
      <c r="A27" s="13" t="s">
        <v>49</v>
      </c>
      <c r="B27" s="15" t="s">
        <v>8</v>
      </c>
      <c r="C27" s="15" t="s">
        <v>21</v>
      </c>
      <c r="D27" s="15" t="s">
        <v>14</v>
      </c>
      <c r="E27" s="15" t="s">
        <v>87</v>
      </c>
      <c r="F27" s="15" t="s">
        <v>82</v>
      </c>
      <c r="G27" s="14">
        <v>5.04</v>
      </c>
      <c r="H27" s="16">
        <f t="shared" si="4"/>
        <v>5.5439999999999996</v>
      </c>
      <c r="I27" s="16">
        <f t="shared" si="5"/>
        <v>4.1327999999999996</v>
      </c>
      <c r="J27">
        <v>0.1</v>
      </c>
    </row>
    <row r="28" spans="1:10">
      <c r="A28" s="13" t="s">
        <v>50</v>
      </c>
      <c r="B28" s="15" t="s">
        <v>8</v>
      </c>
      <c r="C28" s="15" t="s">
        <v>21</v>
      </c>
      <c r="D28" s="15" t="s">
        <v>14</v>
      </c>
      <c r="E28" s="15" t="s">
        <v>87</v>
      </c>
      <c r="F28" s="15" t="s">
        <v>82</v>
      </c>
      <c r="G28" s="14">
        <v>5.04</v>
      </c>
      <c r="H28" s="16">
        <f t="shared" si="4"/>
        <v>5.5439999999999996</v>
      </c>
      <c r="I28" s="16">
        <f t="shared" si="5"/>
        <v>4.1327999999999996</v>
      </c>
      <c r="J28">
        <v>0.1</v>
      </c>
    </row>
    <row r="29" spans="1:10">
      <c r="A29" s="17" t="s">
        <v>51</v>
      </c>
      <c r="B29" s="19" t="s">
        <v>9</v>
      </c>
      <c r="C29" s="19" t="s">
        <v>21</v>
      </c>
      <c r="D29" s="19" t="s">
        <v>15</v>
      </c>
      <c r="E29" s="19" t="s">
        <v>88</v>
      </c>
      <c r="F29" s="19" t="s">
        <v>82</v>
      </c>
      <c r="G29" s="18">
        <v>2.7</v>
      </c>
      <c r="H29" s="20">
        <f>ROUND(G29*1.1,5)</f>
        <v>2.97</v>
      </c>
      <c r="I29" s="20">
        <f>ROUND(G29*0.82,5)</f>
        <v>2.214</v>
      </c>
      <c r="J29">
        <v>0.25</v>
      </c>
    </row>
    <row r="30" spans="1:10">
      <c r="A30" s="17" t="s">
        <v>52</v>
      </c>
      <c r="B30" s="19" t="s">
        <v>9</v>
      </c>
      <c r="C30" s="19" t="s">
        <v>21</v>
      </c>
      <c r="D30" s="19" t="s">
        <v>15</v>
      </c>
      <c r="E30" s="19" t="s">
        <v>88</v>
      </c>
      <c r="F30" s="19" t="s">
        <v>82</v>
      </c>
      <c r="G30" s="18">
        <v>2.7</v>
      </c>
      <c r="H30" s="20">
        <f>ROUND(G30*1.1,5)</f>
        <v>2.97</v>
      </c>
      <c r="I30" s="20">
        <f>ROUND(G30*0.82,5)</f>
        <v>2.214</v>
      </c>
      <c r="J30">
        <v>0.25</v>
      </c>
    </row>
    <row r="31" spans="1:10">
      <c r="A31" s="17" t="s">
        <v>53</v>
      </c>
      <c r="B31" s="19" t="s">
        <v>9</v>
      </c>
      <c r="C31" s="19" t="s">
        <v>21</v>
      </c>
      <c r="D31" s="19" t="s">
        <v>15</v>
      </c>
      <c r="E31" s="19" t="s">
        <v>88</v>
      </c>
      <c r="F31" s="19" t="s">
        <v>82</v>
      </c>
      <c r="G31" s="18">
        <v>2.7</v>
      </c>
      <c r="H31" s="20">
        <f>ROUND(G31*1.1,5)</f>
        <v>2.97</v>
      </c>
      <c r="I31" s="20">
        <f>ROUND(G31*0.82,5)</f>
        <v>2.214</v>
      </c>
      <c r="J31">
        <v>0.25</v>
      </c>
    </row>
    <row r="32" spans="1:10">
      <c r="A32" s="17" t="s">
        <v>54</v>
      </c>
      <c r="B32" s="19" t="s">
        <v>9</v>
      </c>
      <c r="C32" s="19" t="s">
        <v>21</v>
      </c>
      <c r="D32" s="19" t="s">
        <v>15</v>
      </c>
      <c r="E32" s="19" t="s">
        <v>88</v>
      </c>
      <c r="F32" s="19" t="s">
        <v>82</v>
      </c>
      <c r="G32" s="18">
        <v>2.7</v>
      </c>
      <c r="H32" s="20">
        <f t="shared" ref="H32:H39" si="6">ROUND(G32*1.1,5)</f>
        <v>2.97</v>
      </c>
      <c r="I32" s="20">
        <f t="shared" ref="I32:I39" si="7">ROUND(G32*0.82,5)</f>
        <v>2.214</v>
      </c>
      <c r="J32">
        <v>0.25</v>
      </c>
    </row>
    <row r="33" spans="1:10">
      <c r="A33" s="17" t="s">
        <v>55</v>
      </c>
      <c r="B33" s="19" t="s">
        <v>9</v>
      </c>
      <c r="C33" s="19" t="s">
        <v>21</v>
      </c>
      <c r="D33" s="19" t="s">
        <v>15</v>
      </c>
      <c r="E33" s="19" t="s">
        <v>88</v>
      </c>
      <c r="F33" s="19" t="s">
        <v>82</v>
      </c>
      <c r="G33" s="18">
        <v>2.7</v>
      </c>
      <c r="H33" s="20">
        <f t="shared" si="6"/>
        <v>2.97</v>
      </c>
      <c r="I33" s="20">
        <f t="shared" si="7"/>
        <v>2.214</v>
      </c>
      <c r="J33">
        <v>0.25</v>
      </c>
    </row>
    <row r="34" spans="1:10">
      <c r="A34" s="17" t="s">
        <v>56</v>
      </c>
      <c r="B34" s="19" t="s">
        <v>9</v>
      </c>
      <c r="C34" s="19" t="s">
        <v>21</v>
      </c>
      <c r="D34" s="19" t="s">
        <v>15</v>
      </c>
      <c r="E34" s="19" t="s">
        <v>88</v>
      </c>
      <c r="F34" s="19" t="s">
        <v>82</v>
      </c>
      <c r="G34" s="18">
        <v>2.7</v>
      </c>
      <c r="H34" s="20">
        <f t="shared" si="6"/>
        <v>2.97</v>
      </c>
      <c r="I34" s="20">
        <f t="shared" si="7"/>
        <v>2.214</v>
      </c>
      <c r="J34">
        <v>0.25</v>
      </c>
    </row>
    <row r="35" spans="1:10">
      <c r="A35" s="17" t="s">
        <v>57</v>
      </c>
      <c r="B35" s="19" t="s">
        <v>9</v>
      </c>
      <c r="C35" s="19" t="s">
        <v>21</v>
      </c>
      <c r="D35" s="19" t="s">
        <v>15</v>
      </c>
      <c r="E35" s="19" t="s">
        <v>88</v>
      </c>
      <c r="F35" s="19" t="s">
        <v>82</v>
      </c>
      <c r="G35" s="18">
        <v>2.7</v>
      </c>
      <c r="H35" s="20">
        <f t="shared" si="6"/>
        <v>2.97</v>
      </c>
      <c r="I35" s="20">
        <f t="shared" si="7"/>
        <v>2.214</v>
      </c>
      <c r="J35">
        <v>0.25</v>
      </c>
    </row>
    <row r="36" spans="1:10">
      <c r="A36" s="17" t="s">
        <v>58</v>
      </c>
      <c r="B36" s="19" t="s">
        <v>9</v>
      </c>
      <c r="C36" s="19" t="s">
        <v>21</v>
      </c>
      <c r="D36" s="19" t="s">
        <v>15</v>
      </c>
      <c r="E36" s="19" t="s">
        <v>88</v>
      </c>
      <c r="F36" s="19" t="s">
        <v>82</v>
      </c>
      <c r="G36" s="18">
        <v>2.7</v>
      </c>
      <c r="H36" s="20">
        <f t="shared" si="6"/>
        <v>2.97</v>
      </c>
      <c r="I36" s="20">
        <f t="shared" si="7"/>
        <v>2.214</v>
      </c>
      <c r="J36">
        <v>0.25</v>
      </c>
    </row>
    <row r="37" spans="1:10">
      <c r="A37" s="17" t="s">
        <v>59</v>
      </c>
      <c r="B37" s="19" t="s">
        <v>9</v>
      </c>
      <c r="C37" s="19" t="s">
        <v>21</v>
      </c>
      <c r="D37" s="19" t="s">
        <v>15</v>
      </c>
      <c r="E37" s="19" t="s">
        <v>88</v>
      </c>
      <c r="F37" s="19" t="s">
        <v>82</v>
      </c>
      <c r="G37" s="18">
        <v>2.7</v>
      </c>
      <c r="H37" s="20">
        <f t="shared" si="6"/>
        <v>2.97</v>
      </c>
      <c r="I37" s="20">
        <f t="shared" si="7"/>
        <v>2.214</v>
      </c>
      <c r="J37">
        <v>0.25</v>
      </c>
    </row>
    <row r="38" spans="1:10">
      <c r="A38" s="17" t="s">
        <v>60</v>
      </c>
      <c r="B38" s="19" t="s">
        <v>9</v>
      </c>
      <c r="C38" s="19" t="s">
        <v>21</v>
      </c>
      <c r="D38" s="19" t="s">
        <v>15</v>
      </c>
      <c r="E38" s="19" t="s">
        <v>88</v>
      </c>
      <c r="F38" s="19" t="s">
        <v>82</v>
      </c>
      <c r="G38" s="18">
        <v>2.7</v>
      </c>
      <c r="H38" s="20">
        <f t="shared" si="6"/>
        <v>2.97</v>
      </c>
      <c r="I38" s="20">
        <f t="shared" si="7"/>
        <v>2.214</v>
      </c>
      <c r="J38">
        <v>0.25</v>
      </c>
    </row>
    <row r="39" spans="1:10">
      <c r="A39" s="17" t="s">
        <v>61</v>
      </c>
      <c r="B39" s="19" t="s">
        <v>9</v>
      </c>
      <c r="C39" s="19" t="s">
        <v>21</v>
      </c>
      <c r="D39" s="19" t="s">
        <v>15</v>
      </c>
      <c r="E39" s="19" t="s">
        <v>88</v>
      </c>
      <c r="F39" s="19" t="s">
        <v>82</v>
      </c>
      <c r="G39" s="18">
        <v>2.7</v>
      </c>
      <c r="H39" s="20">
        <f t="shared" si="6"/>
        <v>2.97</v>
      </c>
      <c r="I39" s="20">
        <f t="shared" si="7"/>
        <v>2.214</v>
      </c>
      <c r="J39">
        <v>0.25</v>
      </c>
    </row>
    <row r="40" spans="1:10">
      <c r="A40" s="21" t="s">
        <v>62</v>
      </c>
      <c r="B40" s="23" t="s">
        <v>10</v>
      </c>
      <c r="C40" s="23" t="s">
        <v>22</v>
      </c>
      <c r="D40" s="23" t="s">
        <v>16</v>
      </c>
      <c r="E40" s="23" t="s">
        <v>89</v>
      </c>
      <c r="F40" s="23" t="s">
        <v>82</v>
      </c>
      <c r="G40" s="22">
        <v>1.97</v>
      </c>
      <c r="H40" s="24">
        <f>ROUND(G40*1.1,5)</f>
        <v>2.1669999999999998</v>
      </c>
      <c r="I40" s="24">
        <f>ROUND(G40*0.82,5)</f>
        <v>1.6153999999999999</v>
      </c>
      <c r="J40">
        <v>0.25</v>
      </c>
    </row>
    <row r="41" spans="1:10">
      <c r="A41" s="21" t="s">
        <v>63</v>
      </c>
      <c r="B41" s="23" t="s">
        <v>10</v>
      </c>
      <c r="C41" s="23" t="s">
        <v>22</v>
      </c>
      <c r="D41" s="23" t="s">
        <v>16</v>
      </c>
      <c r="E41" s="23" t="s">
        <v>89</v>
      </c>
      <c r="F41" s="23" t="s">
        <v>82</v>
      </c>
      <c r="G41" s="22">
        <v>1.97</v>
      </c>
      <c r="H41" s="24">
        <f>ROUND(G41*1.1,5)</f>
        <v>2.1669999999999998</v>
      </c>
      <c r="I41" s="24">
        <f>ROUND(G41*0.82,5)</f>
        <v>1.6153999999999999</v>
      </c>
      <c r="J41">
        <v>0.25</v>
      </c>
    </row>
    <row r="42" spans="1:10">
      <c r="A42" s="21" t="s">
        <v>64</v>
      </c>
      <c r="B42" s="23" t="s">
        <v>10</v>
      </c>
      <c r="C42" s="23" t="s">
        <v>22</v>
      </c>
      <c r="D42" s="23" t="s">
        <v>16</v>
      </c>
      <c r="E42" s="23" t="s">
        <v>89</v>
      </c>
      <c r="F42" s="23" t="s">
        <v>82</v>
      </c>
      <c r="G42" s="22">
        <v>1.97</v>
      </c>
      <c r="H42" s="24">
        <f>ROUND(G42*1.1,5)</f>
        <v>2.1669999999999998</v>
      </c>
      <c r="I42" s="24">
        <f>ROUND(G42*0.82,5)</f>
        <v>1.6153999999999999</v>
      </c>
      <c r="J42">
        <v>0.25</v>
      </c>
    </row>
    <row r="43" spans="1:10">
      <c r="A43" s="25" t="s">
        <v>18</v>
      </c>
      <c r="B43" s="27" t="s">
        <v>10</v>
      </c>
      <c r="C43" s="27" t="s">
        <v>21</v>
      </c>
      <c r="D43" s="27" t="s">
        <v>90</v>
      </c>
      <c r="E43" s="27" t="s">
        <v>89</v>
      </c>
      <c r="F43" s="27" t="s">
        <v>83</v>
      </c>
      <c r="G43" s="26">
        <v>1.97</v>
      </c>
      <c r="H43" s="28">
        <f>ROUND(G43*1.1,5)</f>
        <v>2.1669999999999998</v>
      </c>
      <c r="I43" s="28">
        <f t="shared" ref="I43:I50" si="8">ROUND(G43*0.82,5)</f>
        <v>1.6153999999999999</v>
      </c>
      <c r="J43">
        <v>0.25</v>
      </c>
    </row>
    <row r="44" spans="1:10">
      <c r="A44" s="21" t="s">
        <v>65</v>
      </c>
      <c r="B44" s="23" t="s">
        <v>10</v>
      </c>
      <c r="C44" s="23" t="s">
        <v>22</v>
      </c>
      <c r="D44" s="23" t="s">
        <v>16</v>
      </c>
      <c r="E44" s="23" t="s">
        <v>89</v>
      </c>
      <c r="F44" s="23" t="s">
        <v>82</v>
      </c>
      <c r="G44" s="22">
        <v>1.97</v>
      </c>
      <c r="H44" s="24">
        <f t="shared" ref="H44:H50" si="9">ROUND(G44*1.1,5)</f>
        <v>2.1669999999999998</v>
      </c>
      <c r="I44" s="24">
        <f t="shared" si="8"/>
        <v>1.6153999999999999</v>
      </c>
      <c r="J44">
        <v>0.25</v>
      </c>
    </row>
    <row r="45" spans="1:10">
      <c r="A45" s="21" t="s">
        <v>66</v>
      </c>
      <c r="B45" s="23" t="s">
        <v>10</v>
      </c>
      <c r="C45" s="23" t="s">
        <v>22</v>
      </c>
      <c r="D45" s="23" t="s">
        <v>16</v>
      </c>
      <c r="E45" s="23" t="s">
        <v>89</v>
      </c>
      <c r="F45" s="23" t="s">
        <v>82</v>
      </c>
      <c r="G45" s="22">
        <v>1.97</v>
      </c>
      <c r="H45" s="24">
        <f t="shared" si="9"/>
        <v>2.1669999999999998</v>
      </c>
      <c r="I45" s="24">
        <f t="shared" si="8"/>
        <v>1.6153999999999999</v>
      </c>
      <c r="J45">
        <v>0.25</v>
      </c>
    </row>
    <row r="46" spans="1:10">
      <c r="A46" s="21" t="s">
        <v>67</v>
      </c>
      <c r="B46" s="23" t="s">
        <v>10</v>
      </c>
      <c r="C46" s="23" t="s">
        <v>22</v>
      </c>
      <c r="D46" s="23" t="s">
        <v>16</v>
      </c>
      <c r="E46" s="23" t="s">
        <v>89</v>
      </c>
      <c r="F46" s="23" t="s">
        <v>82</v>
      </c>
      <c r="G46" s="22">
        <v>1.97</v>
      </c>
      <c r="H46" s="24">
        <f t="shared" si="9"/>
        <v>2.1669999999999998</v>
      </c>
      <c r="I46" s="24">
        <f t="shared" si="8"/>
        <v>1.6153999999999999</v>
      </c>
      <c r="J46">
        <v>0.25</v>
      </c>
    </row>
    <row r="47" spans="1:10">
      <c r="A47" s="21" t="s">
        <v>68</v>
      </c>
      <c r="B47" s="23" t="s">
        <v>10</v>
      </c>
      <c r="C47" s="23" t="s">
        <v>22</v>
      </c>
      <c r="D47" s="23" t="s">
        <v>16</v>
      </c>
      <c r="E47" s="23" t="s">
        <v>89</v>
      </c>
      <c r="F47" s="23" t="s">
        <v>82</v>
      </c>
      <c r="G47" s="22">
        <v>1.97</v>
      </c>
      <c r="H47" s="24">
        <f t="shared" si="9"/>
        <v>2.1669999999999998</v>
      </c>
      <c r="I47" s="24">
        <f t="shared" si="8"/>
        <v>1.6153999999999999</v>
      </c>
      <c r="J47">
        <v>0.25</v>
      </c>
    </row>
    <row r="48" spans="1:10">
      <c r="A48" s="21" t="s">
        <v>69</v>
      </c>
      <c r="B48" s="23" t="s">
        <v>10</v>
      </c>
      <c r="C48" s="23" t="s">
        <v>22</v>
      </c>
      <c r="D48" s="23" t="s">
        <v>16</v>
      </c>
      <c r="E48" s="23" t="s">
        <v>89</v>
      </c>
      <c r="F48" s="23" t="s">
        <v>82</v>
      </c>
      <c r="G48" s="22">
        <v>1.97</v>
      </c>
      <c r="H48" s="24">
        <f t="shared" si="9"/>
        <v>2.1669999999999998</v>
      </c>
      <c r="I48" s="24">
        <f t="shared" si="8"/>
        <v>1.6153999999999999</v>
      </c>
      <c r="J48">
        <v>0.25</v>
      </c>
    </row>
    <row r="49" spans="1:10">
      <c r="A49" s="21" t="s">
        <v>70</v>
      </c>
      <c r="B49" s="23" t="s">
        <v>10</v>
      </c>
      <c r="C49" s="23" t="s">
        <v>22</v>
      </c>
      <c r="D49" s="23" t="s">
        <v>16</v>
      </c>
      <c r="E49" s="23" t="s">
        <v>89</v>
      </c>
      <c r="F49" s="23" t="s">
        <v>82</v>
      </c>
      <c r="G49" s="22">
        <v>1.97</v>
      </c>
      <c r="H49" s="24">
        <f t="shared" si="9"/>
        <v>2.1669999999999998</v>
      </c>
      <c r="I49" s="24">
        <f t="shared" si="8"/>
        <v>1.6153999999999999</v>
      </c>
      <c r="J49">
        <v>0.25</v>
      </c>
    </row>
    <row r="50" spans="1:10">
      <c r="A50" s="21" t="s">
        <v>71</v>
      </c>
      <c r="B50" s="23" t="s">
        <v>10</v>
      </c>
      <c r="C50" s="23" t="s">
        <v>22</v>
      </c>
      <c r="D50" s="23" t="s">
        <v>16</v>
      </c>
      <c r="E50" s="23" t="s">
        <v>89</v>
      </c>
      <c r="F50" s="23" t="s">
        <v>82</v>
      </c>
      <c r="G50" s="22">
        <v>1.97</v>
      </c>
      <c r="H50" s="24">
        <f t="shared" si="9"/>
        <v>2.1669999999999998</v>
      </c>
      <c r="I50" s="24">
        <f t="shared" si="8"/>
        <v>1.6153999999999999</v>
      </c>
      <c r="J50">
        <v>0.25</v>
      </c>
    </row>
    <row r="51" spans="1:10">
      <c r="A51" s="25" t="s">
        <v>19</v>
      </c>
      <c r="B51" s="27" t="s">
        <v>10</v>
      </c>
      <c r="C51" s="27" t="s">
        <v>23</v>
      </c>
      <c r="D51" s="27" t="s">
        <v>91</v>
      </c>
      <c r="E51" s="27" t="s">
        <v>89</v>
      </c>
      <c r="F51" s="27" t="s">
        <v>83</v>
      </c>
      <c r="G51" s="26">
        <v>1.97</v>
      </c>
      <c r="H51" s="28">
        <f t="shared" ref="H51:H58" si="10">ROUND(G51*1.1,5)</f>
        <v>2.1669999999999998</v>
      </c>
      <c r="I51" s="28">
        <f t="shared" ref="I51:I58" si="11">ROUND(G51*0.82,5)</f>
        <v>1.6153999999999999</v>
      </c>
      <c r="J51">
        <v>0.25</v>
      </c>
    </row>
    <row r="52" spans="1:10">
      <c r="A52" t="s">
        <v>72</v>
      </c>
      <c r="B52" s="3" t="s">
        <v>11</v>
      </c>
      <c r="C52" s="3" t="s">
        <v>79</v>
      </c>
      <c r="D52" s="3" t="s">
        <v>17</v>
      </c>
      <c r="E52" s="3" t="s">
        <v>84</v>
      </c>
      <c r="F52" s="3" t="s">
        <v>82</v>
      </c>
      <c r="G52" s="2">
        <v>1.1800000000000002</v>
      </c>
      <c r="H52" s="4">
        <f t="shared" si="10"/>
        <v>1.298</v>
      </c>
      <c r="I52" s="4">
        <f t="shared" si="11"/>
        <v>0.96760000000000002</v>
      </c>
      <c r="J52">
        <v>0.25</v>
      </c>
    </row>
    <row r="53" spans="1:10">
      <c r="A53" t="s">
        <v>73</v>
      </c>
      <c r="B53" s="3" t="s">
        <v>11</v>
      </c>
      <c r="C53" s="3" t="s">
        <v>79</v>
      </c>
      <c r="D53" s="3" t="s">
        <v>17</v>
      </c>
      <c r="E53" s="3" t="s">
        <v>84</v>
      </c>
      <c r="F53" s="3" t="s">
        <v>82</v>
      </c>
      <c r="G53" s="2">
        <v>1.1800000000000002</v>
      </c>
      <c r="H53" s="4">
        <f t="shared" si="10"/>
        <v>1.298</v>
      </c>
      <c r="I53" s="4">
        <f t="shared" si="11"/>
        <v>0.96760000000000002</v>
      </c>
      <c r="J53">
        <v>0.25</v>
      </c>
    </row>
    <row r="54" spans="1:10">
      <c r="A54" t="s">
        <v>74</v>
      </c>
      <c r="B54" s="3" t="s">
        <v>11</v>
      </c>
      <c r="C54" s="3" t="s">
        <v>79</v>
      </c>
      <c r="D54" s="3" t="s">
        <v>17</v>
      </c>
      <c r="E54" s="3" t="s">
        <v>84</v>
      </c>
      <c r="F54" s="3" t="s">
        <v>82</v>
      </c>
      <c r="G54" s="2">
        <v>1.1800000000000002</v>
      </c>
      <c r="H54" s="4">
        <f t="shared" si="10"/>
        <v>1.298</v>
      </c>
      <c r="I54" s="4">
        <f t="shared" si="11"/>
        <v>0.96760000000000002</v>
      </c>
      <c r="J54">
        <v>0.25</v>
      </c>
    </row>
    <row r="55" spans="1:10">
      <c r="A55" t="s">
        <v>75</v>
      </c>
      <c r="B55" s="3" t="s">
        <v>11</v>
      </c>
      <c r="C55" s="3" t="s">
        <v>79</v>
      </c>
      <c r="D55" s="3" t="s">
        <v>17</v>
      </c>
      <c r="E55" s="3" t="s">
        <v>84</v>
      </c>
      <c r="F55" s="3" t="s">
        <v>82</v>
      </c>
      <c r="G55" s="2">
        <v>1.1800000000000002</v>
      </c>
      <c r="H55" s="4">
        <f t="shared" si="10"/>
        <v>1.298</v>
      </c>
      <c r="I55" s="4">
        <f t="shared" si="11"/>
        <v>0.96760000000000002</v>
      </c>
      <c r="J55">
        <v>0.25</v>
      </c>
    </row>
    <row r="56" spans="1:10">
      <c r="A56" t="s">
        <v>76</v>
      </c>
      <c r="B56" s="3" t="s">
        <v>11</v>
      </c>
      <c r="C56" s="3" t="s">
        <v>79</v>
      </c>
      <c r="D56" s="3" t="s">
        <v>17</v>
      </c>
      <c r="E56" s="3" t="s">
        <v>84</v>
      </c>
      <c r="F56" s="3" t="s">
        <v>82</v>
      </c>
      <c r="G56" s="2">
        <v>1.1800000000000002</v>
      </c>
      <c r="H56" s="4">
        <f t="shared" si="10"/>
        <v>1.298</v>
      </c>
      <c r="I56" s="4">
        <f t="shared" si="11"/>
        <v>0.96760000000000002</v>
      </c>
      <c r="J56">
        <v>0.25</v>
      </c>
    </row>
    <row r="57" spans="1:10">
      <c r="A57" t="s">
        <v>77</v>
      </c>
      <c r="B57" s="3" t="s">
        <v>11</v>
      </c>
      <c r="C57" s="3" t="s">
        <v>79</v>
      </c>
      <c r="D57" s="3" t="s">
        <v>17</v>
      </c>
      <c r="E57" s="3" t="s">
        <v>84</v>
      </c>
      <c r="F57" s="3" t="s">
        <v>82</v>
      </c>
      <c r="G57" s="2">
        <v>1.1800000000000002</v>
      </c>
      <c r="H57" s="4">
        <f t="shared" si="10"/>
        <v>1.298</v>
      </c>
      <c r="I57" s="4">
        <f t="shared" si="11"/>
        <v>0.96760000000000002</v>
      </c>
      <c r="J57">
        <v>0.25</v>
      </c>
    </row>
    <row r="58" spans="1:10">
      <c r="A58" t="s">
        <v>78</v>
      </c>
      <c r="B58" s="3" t="s">
        <v>11</v>
      </c>
      <c r="C58" s="3" t="s">
        <v>79</v>
      </c>
      <c r="D58" s="3" t="s">
        <v>17</v>
      </c>
      <c r="E58" s="3" t="s">
        <v>84</v>
      </c>
      <c r="F58" s="3" t="s">
        <v>82</v>
      </c>
      <c r="G58" s="2">
        <v>1.1800000000000002</v>
      </c>
      <c r="H58" s="4">
        <f t="shared" si="10"/>
        <v>1.298</v>
      </c>
      <c r="I58" s="4">
        <f t="shared" si="11"/>
        <v>0.96760000000000002</v>
      </c>
      <c r="J58">
        <v>0.25</v>
      </c>
    </row>
    <row r="64" spans="1:10">
      <c r="A64" s="2"/>
      <c r="B64" s="3"/>
      <c r="C64" s="3"/>
      <c r="D64" s="3"/>
      <c r="E64" s="3"/>
      <c r="F64" s="3"/>
      <c r="G64" s="2"/>
      <c r="H64" s="4"/>
      <c r="I64" s="4"/>
    </row>
  </sheetData>
  <pageMargins left="0.7" right="0.7" top="0.75" bottom="0.75" header="0.3" footer="0.3"/>
  <pageSetup paperSize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PGBU ResLimits</vt:lpstr>
    </vt:vector>
  </TitlesOfParts>
  <Company>Littelfuse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jdelgado2</dc:creator>
  <cp:lastModifiedBy>jdelgado2</cp:lastModifiedBy>
  <dcterms:created xsi:type="dcterms:W3CDTF">2017-04-25T19:28:41Z</dcterms:created>
  <dcterms:modified xsi:type="dcterms:W3CDTF">2017-05-10T22:07:16Z</dcterms:modified>
</cp:coreProperties>
</file>